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A CLASSES\ASSIGNMENT\"/>
    </mc:Choice>
  </mc:AlternateContent>
  <xr:revisionPtr revIDLastSave="0" documentId="13_ncr:1_{70F18633-4A49-46C9-8BBA-B4289453D1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M55" i="2"/>
  <c r="M5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M49" i="2"/>
  <c r="M48" i="2"/>
  <c r="M45" i="2"/>
  <c r="M44" i="2"/>
  <c r="M43" i="2"/>
</calcChain>
</file>

<file path=xl/sharedStrings.xml><?xml version="1.0" encoding="utf-8"?>
<sst xmlns="http://schemas.openxmlformats.org/spreadsheetml/2006/main" count="174" uniqueCount="117">
  <si>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</si>
  <si>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</si>
  <si>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</si>
  <si>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</si>
  <si>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</si>
  <si>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</si>
  <si>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</si>
  <si>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</si>
  <si>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</si>
  <si>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</si>
  <si>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</si>
  <si>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</si>
  <si>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</si>
  <si>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</si>
  <si>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</si>
  <si>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</si>
  <si>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</si>
  <si>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</si>
  <si>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</si>
  <si>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</si>
  <si>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</si>
  <si>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</si>
  <si>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</si>
  <si>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</si>
  <si>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</si>
  <si>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</si>
  <si>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</si>
  <si>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</si>
  <si>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</si>
  <si>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</si>
  <si>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</si>
  <si>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</si>
  <si>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</si>
  <si>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</si>
  <si>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</si>
  <si>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</si>
  <si>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</si>
  <si>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</si>
  <si>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</si>
  <si>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</si>
  <si>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</si>
  <si>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</si>
  <si>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</si>
  <si>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</si>
  <si>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</si>
  <si>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</si>
  <si>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</si>
  <si>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</si>
  <si>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</si>
  <si>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</si>
  <si>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</si>
  <si>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</si>
  <si>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</si>
  <si>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</si>
  <si>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</si>
  <si>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</si>
  <si>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</si>
  <si>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</si>
  <si>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</si>
  <si>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</si>
  <si>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</si>
  <si>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</si>
  <si>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</si>
  <si>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</si>
  <si>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</si>
  <si>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</si>
  <si>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</si>
  <si>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</si>
  <si>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</si>
  <si>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</si>
  <si>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</si>
  <si>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</si>
  <si>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</si>
  <si>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</si>
  <si>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</si>
  <si>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</si>
  <si>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</si>
  <si>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</si>
  <si>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</si>
  <si>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</si>
  <si>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</si>
  <si>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</si>
  <si>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</si>
  <si>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</si>
  <si>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</si>
  <si>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</si>
  <si>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</si>
  <si>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</si>
  <si>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</si>
  <si>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</si>
  <si>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</si>
  <si>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</si>
  <si>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</si>
  <si>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</si>
  <si>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</si>
  <si>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</si>
  <si>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</si>
  <si>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</si>
  <si>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</si>
  <si>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</si>
  <si>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</si>
  <si>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</si>
  <si>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</si>
  <si>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</si>
  <si>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</si>
  <si>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</si>
  <si>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</si>
  <si>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</si>
  <si>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</si>
  <si>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</si>
  <si>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Questions</t>
  </si>
  <si>
    <t>Answers</t>
  </si>
  <si>
    <t>Price Range</t>
  </si>
  <si>
    <t>G1-G35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</si>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</sst>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9DC43-0AB3-40A7-920D-246454791E22}" name="Table1" displayName="Table1" ref="A1:J35" totalsRowShown="0" headerRowDxfId="15" dataDxfId="14">
  <autoFilter ref="A1:J35" xr:uid="{6B79DC43-0AB3-40A7-920D-246454791E22}"/>
  <tableColumns count="10">
    <tableColumn id="1" xr3:uid="{140192E8-06AB-46D4-A805-87F7D090EFCE}" name="Product ID" dataDxfId="13"/>
    <tableColumn id="2" xr3:uid="{4EC9FE39-A741-4B8E-82EC-A372152928C6}" name="Product Name" dataDxfId="12"/>
    <tableColumn id="3" xr3:uid="{D11786E0-9CBA-4DD6-96DA-B2877C4956E1}" name="Brand Name" dataDxfId="11"/>
    <tableColumn id="4" xr3:uid="{57C7925B-380A-4237-B0A0-6EBB41612016}" name="Price ($)" dataDxfId="10"/>
    <tableColumn id="5" xr3:uid="{91CAD511-DD20-4DE3-9252-9A31FFCDBA94}" name="Quantity" dataDxfId="9"/>
    <tableColumn id="6" xr3:uid="{8562B833-D0CC-4E62-8F01-674BBC8ECE8F}" name="Category" dataDxfId="8"/>
    <tableColumn id="7" xr3:uid="{ED734F78-2D6D-4627-B0C0-6070A2EB7B75}" name="Price Range" dataDxfId="7">
      <calculatedColumnFormula>IF(D2&gt;=500,"High price","Standard price")</calculatedColumnFormula>
    </tableColumn>
    <tableColumn id="8" xr3:uid="{699FBCD1-0E4A-4ED7-A941-DE8E3B95C58D}" name="Day" dataDxfId="6">
      <calculatedColumnFormula>LEFT(A2,2)</calculatedColumnFormula>
    </tableColumn>
    <tableColumn id="9" xr3:uid="{91AEE955-77F4-4E5D-9F76-AF7F14B40880}" name="Month" dataDxfId="5">
      <calculatedColumnFormula>MID(A2,4,3)</calculatedColumnFormula>
    </tableColumn>
    <tableColumn id="10" xr3:uid="{7F4DBE9E-3CFB-49B5-A5A5-A45883C801D4}" name="Country Code" dataDxfId="4">
      <calculatedColumnFormula>RIGHT(A2,2)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31DFBE-67A8-4936-9243-62F354BF8299}" name="Table2" displayName="Table2" ref="L41:M55" totalsRowShown="0" headerRowDxfId="3" dataDxfId="2" headerRowCellStyle="Normal" dataCellStyle="Normal">
  <autoFilter ref="L41:M55" xr:uid="{A331DFBE-67A8-4936-9243-62F354BF8299}"/>
  <tableColumns count="2">
    <tableColumn id="1" xr3:uid="{39807E5B-81FE-43C0-940C-8B66B7FE31F8}" name="Questions" dataDxfId="1" dataCellStyle="Normal"/>
    <tableColumn id="2" xr3:uid="{D8B1C0F8-E675-4D5B-A2D1-7377144D212B}" name="Answers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I20" sqref="I2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7" t="s">
        <v>11</v>
      </c>
    </row>
    <row r="17" spans="2:3" ht="15.75" customHeight="1" x14ac:dyDescent="0.3">
      <c r="C17" s="7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7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98"/>
  <sheetViews>
    <sheetView tabSelected="1" workbookViewId="0">
      <selection activeCell="L6" sqref="L6"/>
    </sheetView>
  </sheetViews>
  <sheetFormatPr defaultColWidth="12.6640625" defaultRowHeight="15" customHeight="1" x14ac:dyDescent="0.25"/>
  <cols>
    <col min="1" max="1" width="12.6640625" style="5" customWidth="1"/>
    <col min="2" max="2" width="15.33203125" style="5" customWidth="1"/>
    <col min="3" max="3" width="13.6640625" style="5" customWidth="1"/>
    <col min="4" max="6" width="12.6640625" style="5" customWidth="1"/>
    <col min="7" max="7" width="13.44140625" style="5" customWidth="1"/>
    <col min="8" max="8" width="12.6640625" style="5"/>
    <col min="9" max="9" width="12.33203125" style="5" bestFit="1" customWidth="1"/>
    <col min="10" max="10" width="15.109375" style="5" customWidth="1"/>
    <col min="12" max="12" width="45" bestFit="1" customWidth="1"/>
    <col min="17" max="17" width="45" bestFit="1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8" t="s">
        <v>112</v>
      </c>
      <c r="H1" s="6" t="s">
        <v>114</v>
      </c>
      <c r="I1" s="6" t="s">
        <v>116</v>
      </c>
      <c r="J1" s="6" t="s">
        <v>115</v>
      </c>
    </row>
    <row r="2" spans="1:10" ht="15.75" customHeight="1" x14ac:dyDescent="0.25">
      <c r="A2" s="5" t="s">
        <v>23</v>
      </c>
      <c r="B2" s="5" t="s">
        <v>24</v>
      </c>
      <c r="C2" s="5" t="s">
        <v>25</v>
      </c>
      <c r="D2" s="5">
        <v>1000</v>
      </c>
      <c r="E2" s="5">
        <v>30</v>
      </c>
      <c r="F2" s="5" t="s">
        <v>26</v>
      </c>
      <c r="G2" s="9" t="str">
        <f>IF(D2&gt;=500,"High price","Standard price")</f>
        <v>High price</v>
      </c>
      <c r="H2" s="5" t="str">
        <f>LEFT(A2,2)</f>
        <v>28</v>
      </c>
      <c r="I2" s="5" t="str">
        <f>MID(A2,4,3)</f>
        <v>JAN</v>
      </c>
      <c r="J2" s="5" t="str">
        <f>RIGHT(A2,2)</f>
        <v>US</v>
      </c>
    </row>
    <row r="3" spans="1:10" ht="15.75" customHeight="1" x14ac:dyDescent="0.25">
      <c r="A3" s="5" t="s">
        <v>27</v>
      </c>
      <c r="B3" s="5" t="s">
        <v>28</v>
      </c>
      <c r="C3" s="5" t="s">
        <v>29</v>
      </c>
      <c r="D3" s="5">
        <v>80</v>
      </c>
      <c r="E3" s="5">
        <v>15</v>
      </c>
      <c r="F3" s="5" t="s">
        <v>30</v>
      </c>
      <c r="G3" s="9" t="str">
        <f t="shared" ref="G3:G35" si="0">IF(D3&gt;=500,"High price","Standard price")</f>
        <v>Standard price</v>
      </c>
      <c r="H3" s="5" t="str">
        <f t="shared" ref="H3:H35" si="1">LEFT(A3,2)</f>
        <v>15</v>
      </c>
      <c r="I3" s="5" t="str">
        <f t="shared" ref="I3:I35" si="2">MID(A3,4,3)</f>
        <v>FEB</v>
      </c>
      <c r="J3" s="5" t="str">
        <f t="shared" ref="J3:J35" si="3">RIGHT(A3,2)</f>
        <v>US</v>
      </c>
    </row>
    <row r="4" spans="1:10" ht="15.75" customHeight="1" x14ac:dyDescent="0.25">
      <c r="A4" s="5" t="s">
        <v>31</v>
      </c>
      <c r="B4" s="5" t="s">
        <v>32</v>
      </c>
      <c r="C4" s="5" t="s">
        <v>33</v>
      </c>
      <c r="D4" s="5">
        <v>130</v>
      </c>
      <c r="E4" s="5">
        <v>40</v>
      </c>
      <c r="F4" s="5" t="s">
        <v>34</v>
      </c>
      <c r="G4" s="9" t="str">
        <f t="shared" si="0"/>
        <v>Standard price</v>
      </c>
      <c r="H4" s="5" t="str">
        <f t="shared" si="1"/>
        <v>03</v>
      </c>
      <c r="I4" s="5" t="str">
        <f t="shared" si="2"/>
        <v>MAR</v>
      </c>
      <c r="J4" s="5" t="str">
        <f t="shared" si="3"/>
        <v>US</v>
      </c>
    </row>
    <row r="5" spans="1:10" ht="15.75" customHeight="1" x14ac:dyDescent="0.25">
      <c r="A5" s="5" t="s">
        <v>35</v>
      </c>
      <c r="B5" s="5" t="s">
        <v>36</v>
      </c>
      <c r="C5" s="5" t="s">
        <v>37</v>
      </c>
      <c r="D5" s="5">
        <v>900</v>
      </c>
      <c r="E5" s="5">
        <v>25</v>
      </c>
      <c r="F5" s="5" t="s">
        <v>26</v>
      </c>
      <c r="G5" s="9" t="str">
        <f t="shared" si="0"/>
        <v>High price</v>
      </c>
      <c r="H5" s="5" t="str">
        <f t="shared" si="1"/>
        <v>11</v>
      </c>
      <c r="I5" s="5" t="str">
        <f t="shared" si="2"/>
        <v>APR</v>
      </c>
      <c r="J5" s="5" t="str">
        <f t="shared" si="3"/>
        <v>US</v>
      </c>
    </row>
    <row r="6" spans="1:10" ht="15.75" customHeight="1" x14ac:dyDescent="0.25">
      <c r="A6" s="5" t="s">
        <v>38</v>
      </c>
      <c r="B6" s="5" t="s">
        <v>39</v>
      </c>
      <c r="C6" s="5" t="s">
        <v>40</v>
      </c>
      <c r="D6" s="5">
        <v>70</v>
      </c>
      <c r="E6" s="5">
        <v>20</v>
      </c>
      <c r="F6" s="5" t="s">
        <v>41</v>
      </c>
      <c r="G6" s="9" t="str">
        <f t="shared" si="0"/>
        <v>Standard price</v>
      </c>
      <c r="H6" s="5" t="str">
        <f t="shared" si="1"/>
        <v>22</v>
      </c>
      <c r="I6" s="5" t="str">
        <f t="shared" si="2"/>
        <v>MAY</v>
      </c>
      <c r="J6" s="5" t="str">
        <f t="shared" si="3"/>
        <v>US</v>
      </c>
    </row>
    <row r="7" spans="1:10" ht="15.75" customHeight="1" x14ac:dyDescent="0.25">
      <c r="A7" s="5" t="s">
        <v>42</v>
      </c>
      <c r="B7" s="5" t="s">
        <v>43</v>
      </c>
      <c r="C7" s="5" t="s">
        <v>44</v>
      </c>
      <c r="D7" s="5">
        <v>200</v>
      </c>
      <c r="E7" s="5">
        <v>45</v>
      </c>
      <c r="F7" s="5" t="s">
        <v>26</v>
      </c>
      <c r="G7" s="9" t="str">
        <f t="shared" si="0"/>
        <v>Standard price</v>
      </c>
      <c r="H7" s="5" t="str">
        <f t="shared" si="1"/>
        <v>07</v>
      </c>
      <c r="I7" s="5" t="str">
        <f t="shared" si="2"/>
        <v>JUN</v>
      </c>
      <c r="J7" s="5" t="str">
        <f t="shared" si="3"/>
        <v>UK</v>
      </c>
    </row>
    <row r="8" spans="1:10" ht="15.75" customHeight="1" x14ac:dyDescent="0.25">
      <c r="A8" s="5" t="s">
        <v>45</v>
      </c>
      <c r="B8" s="5" t="s">
        <v>46</v>
      </c>
      <c r="C8" s="5" t="s">
        <v>47</v>
      </c>
      <c r="D8" s="5">
        <v>30</v>
      </c>
      <c r="E8" s="5">
        <v>5</v>
      </c>
      <c r="F8" s="5" t="s">
        <v>30</v>
      </c>
      <c r="G8" s="9" t="str">
        <f t="shared" si="0"/>
        <v>Standard price</v>
      </c>
      <c r="H8" s="5" t="str">
        <f t="shared" si="1"/>
        <v>19</v>
      </c>
      <c r="I8" s="5" t="str">
        <f t="shared" si="2"/>
        <v>JUL</v>
      </c>
      <c r="J8" s="5" t="str">
        <f t="shared" si="3"/>
        <v>UK</v>
      </c>
    </row>
    <row r="9" spans="1:10" ht="15.75" customHeight="1" x14ac:dyDescent="0.25">
      <c r="A9" s="5" t="s">
        <v>48</v>
      </c>
      <c r="B9" s="5" t="s">
        <v>49</v>
      </c>
      <c r="C9" s="5" t="s">
        <v>50</v>
      </c>
      <c r="D9" s="5">
        <v>90</v>
      </c>
      <c r="E9" s="5">
        <v>35</v>
      </c>
      <c r="F9" s="5" t="s">
        <v>34</v>
      </c>
      <c r="G9" s="9" t="str">
        <f t="shared" si="0"/>
        <v>Standard price</v>
      </c>
      <c r="H9" s="5" t="str">
        <f t="shared" si="1"/>
        <v>23</v>
      </c>
      <c r="I9" s="5" t="str">
        <f t="shared" si="2"/>
        <v>AUG</v>
      </c>
      <c r="J9" s="5" t="str">
        <f t="shared" si="3"/>
        <v>UK</v>
      </c>
    </row>
    <row r="10" spans="1:10" ht="15.75" customHeight="1" x14ac:dyDescent="0.25">
      <c r="A10" s="5" t="s">
        <v>51</v>
      </c>
      <c r="B10" s="5" t="s">
        <v>52</v>
      </c>
      <c r="C10" s="5" t="s">
        <v>53</v>
      </c>
      <c r="D10" s="5">
        <v>500</v>
      </c>
      <c r="E10" s="5">
        <v>50</v>
      </c>
      <c r="F10" s="5" t="s">
        <v>26</v>
      </c>
      <c r="G10" s="9" t="str">
        <f t="shared" si="0"/>
        <v>High price</v>
      </c>
      <c r="H10" s="5" t="str">
        <f t="shared" si="1"/>
        <v>05</v>
      </c>
      <c r="I10" s="5" t="str">
        <f t="shared" si="2"/>
        <v>SEP</v>
      </c>
      <c r="J10" s="5" t="str">
        <f t="shared" si="3"/>
        <v>UK</v>
      </c>
    </row>
    <row r="11" spans="1:10" ht="15.75" customHeight="1" x14ac:dyDescent="0.25">
      <c r="A11" s="5" t="s">
        <v>54</v>
      </c>
      <c r="B11" s="5" t="s">
        <v>55</v>
      </c>
      <c r="C11" s="5" t="s">
        <v>56</v>
      </c>
      <c r="D11" s="5">
        <v>130</v>
      </c>
      <c r="E11" s="5">
        <v>10</v>
      </c>
      <c r="F11" s="5" t="s">
        <v>41</v>
      </c>
      <c r="G11" s="9" t="str">
        <f t="shared" si="0"/>
        <v>Standard price</v>
      </c>
      <c r="H11" s="5" t="str">
        <f t="shared" si="1"/>
        <v>14</v>
      </c>
      <c r="I11" s="5" t="str">
        <f t="shared" si="2"/>
        <v>OCT</v>
      </c>
      <c r="J11" s="5" t="str">
        <f t="shared" si="3"/>
        <v>UK</v>
      </c>
    </row>
    <row r="12" spans="1:10" ht="15.75" customHeight="1" x14ac:dyDescent="0.25">
      <c r="A12" s="5" t="s">
        <v>57</v>
      </c>
      <c r="B12" s="5" t="s">
        <v>24</v>
      </c>
      <c r="C12" s="5" t="s">
        <v>58</v>
      </c>
      <c r="D12" s="5">
        <v>950</v>
      </c>
      <c r="E12" s="5">
        <v>25</v>
      </c>
      <c r="F12" s="5" t="s">
        <v>26</v>
      </c>
      <c r="G12" s="9" t="str">
        <f t="shared" si="0"/>
        <v>High price</v>
      </c>
      <c r="H12" s="5" t="str">
        <f t="shared" si="1"/>
        <v>17</v>
      </c>
      <c r="I12" s="5" t="str">
        <f t="shared" si="2"/>
        <v>JUN</v>
      </c>
      <c r="J12" s="5" t="str">
        <f t="shared" si="3"/>
        <v>IN</v>
      </c>
    </row>
    <row r="13" spans="1:10" ht="15.75" customHeight="1" x14ac:dyDescent="0.25">
      <c r="A13" s="5" t="s">
        <v>59</v>
      </c>
      <c r="B13" s="5" t="s">
        <v>28</v>
      </c>
      <c r="C13" s="5" t="s">
        <v>47</v>
      </c>
      <c r="D13" s="5">
        <v>90</v>
      </c>
      <c r="E13" s="5">
        <v>40</v>
      </c>
      <c r="F13" s="5" t="s">
        <v>30</v>
      </c>
      <c r="G13" s="9" t="str">
        <f t="shared" si="0"/>
        <v>Standard price</v>
      </c>
      <c r="H13" s="5" t="str">
        <f t="shared" si="1"/>
        <v>25</v>
      </c>
      <c r="I13" s="5" t="str">
        <f t="shared" si="2"/>
        <v>NOV</v>
      </c>
      <c r="J13" s="5" t="str">
        <f t="shared" si="3"/>
        <v>AU</v>
      </c>
    </row>
    <row r="14" spans="1:10" ht="15.75" customHeight="1" x14ac:dyDescent="0.25">
      <c r="A14" s="5" t="s">
        <v>60</v>
      </c>
      <c r="B14" s="5" t="s">
        <v>32</v>
      </c>
      <c r="C14" s="5" t="s">
        <v>61</v>
      </c>
      <c r="D14" s="5">
        <v>120</v>
      </c>
      <c r="E14" s="5">
        <v>35</v>
      </c>
      <c r="F14" s="5" t="s">
        <v>34</v>
      </c>
      <c r="G14" s="9" t="str">
        <f t="shared" si="0"/>
        <v>Standard price</v>
      </c>
      <c r="H14" s="5" t="str">
        <f t="shared" si="1"/>
        <v>08</v>
      </c>
      <c r="I14" s="5" t="str">
        <f t="shared" si="2"/>
        <v>DEC</v>
      </c>
      <c r="J14" s="5" t="str">
        <f t="shared" si="3"/>
        <v>DE</v>
      </c>
    </row>
    <row r="15" spans="1:10" ht="15.75" customHeight="1" x14ac:dyDescent="0.25">
      <c r="A15" s="5" t="s">
        <v>62</v>
      </c>
      <c r="B15" s="5" t="s">
        <v>63</v>
      </c>
      <c r="C15" s="5" t="s">
        <v>64</v>
      </c>
      <c r="D15" s="5">
        <v>150</v>
      </c>
      <c r="E15" s="5">
        <v>15</v>
      </c>
      <c r="F15" s="5" t="s">
        <v>26</v>
      </c>
      <c r="G15" s="9" t="str">
        <f t="shared" si="0"/>
        <v>Standard price</v>
      </c>
      <c r="H15" s="5" t="str">
        <f t="shared" si="1"/>
        <v>18</v>
      </c>
      <c r="I15" s="5" t="str">
        <f t="shared" si="2"/>
        <v>FEB</v>
      </c>
      <c r="J15" s="5" t="str">
        <f t="shared" si="3"/>
        <v>CA</v>
      </c>
    </row>
    <row r="16" spans="1:10" ht="15.75" customHeight="1" x14ac:dyDescent="0.25">
      <c r="A16" s="5" t="s">
        <v>65</v>
      </c>
      <c r="B16" s="5" t="s">
        <v>43</v>
      </c>
      <c r="C16" s="5" t="s">
        <v>66</v>
      </c>
      <c r="D16" s="5">
        <v>250</v>
      </c>
      <c r="E16" s="5">
        <v>20</v>
      </c>
      <c r="F16" s="5" t="s">
        <v>26</v>
      </c>
      <c r="G16" s="9" t="str">
        <f t="shared" si="0"/>
        <v>Standard price</v>
      </c>
      <c r="H16" s="5" t="str">
        <f t="shared" si="1"/>
        <v>16</v>
      </c>
      <c r="I16" s="5" t="str">
        <f t="shared" si="2"/>
        <v>APR</v>
      </c>
      <c r="J16" s="5" t="str">
        <f t="shared" si="3"/>
        <v>ES</v>
      </c>
    </row>
    <row r="17" spans="1:10" ht="15.75" customHeight="1" x14ac:dyDescent="0.25">
      <c r="A17" s="5" t="s">
        <v>67</v>
      </c>
      <c r="B17" s="5" t="s">
        <v>68</v>
      </c>
      <c r="C17" s="5" t="s">
        <v>69</v>
      </c>
      <c r="D17" s="5">
        <v>50</v>
      </c>
      <c r="E17" s="5">
        <v>35</v>
      </c>
      <c r="F17" s="5" t="s">
        <v>70</v>
      </c>
      <c r="G17" s="9" t="str">
        <f t="shared" si="0"/>
        <v>Standard price</v>
      </c>
      <c r="H17" s="5" t="str">
        <f t="shared" si="1"/>
        <v>21</v>
      </c>
      <c r="I17" s="5" t="str">
        <f t="shared" si="2"/>
        <v>AUG</v>
      </c>
      <c r="J17" s="5" t="str">
        <f t="shared" si="3"/>
        <v>CA</v>
      </c>
    </row>
    <row r="18" spans="1:10" ht="15.75" customHeight="1" x14ac:dyDescent="0.25">
      <c r="A18" s="5" t="s">
        <v>71</v>
      </c>
      <c r="B18" s="5" t="s">
        <v>63</v>
      </c>
      <c r="C18" s="5" t="s">
        <v>72</v>
      </c>
      <c r="D18" s="5">
        <v>160</v>
      </c>
      <c r="E18" s="5">
        <v>15</v>
      </c>
      <c r="F18" s="5" t="s">
        <v>26</v>
      </c>
      <c r="G18" s="9" t="str">
        <f t="shared" si="0"/>
        <v>Standard price</v>
      </c>
      <c r="H18" s="5" t="str">
        <f t="shared" si="1"/>
        <v>20</v>
      </c>
      <c r="I18" s="5" t="str">
        <f t="shared" si="2"/>
        <v>AUG</v>
      </c>
      <c r="J18" s="5" t="str">
        <f t="shared" si="3"/>
        <v>CN</v>
      </c>
    </row>
    <row r="19" spans="1:10" ht="15.75" customHeight="1" x14ac:dyDescent="0.25">
      <c r="A19" s="5" t="s">
        <v>73</v>
      </c>
      <c r="B19" s="5" t="s">
        <v>24</v>
      </c>
      <c r="C19" s="5" t="s">
        <v>74</v>
      </c>
      <c r="D19" s="5">
        <v>980</v>
      </c>
      <c r="E19" s="5">
        <v>10</v>
      </c>
      <c r="F19" s="5" t="s">
        <v>26</v>
      </c>
      <c r="G19" s="9" t="str">
        <f t="shared" si="0"/>
        <v>High price</v>
      </c>
      <c r="H19" s="5" t="str">
        <f t="shared" si="1"/>
        <v>27</v>
      </c>
      <c r="I19" s="5" t="str">
        <f t="shared" si="2"/>
        <v>JAN</v>
      </c>
      <c r="J19" s="5" t="str">
        <f t="shared" si="3"/>
        <v>IT</v>
      </c>
    </row>
    <row r="20" spans="1:10" ht="15.75" customHeight="1" x14ac:dyDescent="0.25">
      <c r="A20" s="5" t="s">
        <v>75</v>
      </c>
      <c r="B20" s="5" t="s">
        <v>76</v>
      </c>
      <c r="C20" s="5" t="s">
        <v>77</v>
      </c>
      <c r="D20" s="5">
        <v>150</v>
      </c>
      <c r="E20" s="5">
        <v>15</v>
      </c>
      <c r="F20" s="5" t="s">
        <v>30</v>
      </c>
      <c r="G20" s="9" t="str">
        <f t="shared" si="0"/>
        <v>Standard price</v>
      </c>
      <c r="H20" s="5" t="str">
        <f t="shared" si="1"/>
        <v>01</v>
      </c>
      <c r="I20" s="5" t="str">
        <f t="shared" si="2"/>
        <v>MAR</v>
      </c>
      <c r="J20" s="5" t="str">
        <f t="shared" si="3"/>
        <v>UK</v>
      </c>
    </row>
    <row r="21" spans="1:10" ht="15.75" customHeight="1" x14ac:dyDescent="0.25">
      <c r="A21" s="5" t="s">
        <v>78</v>
      </c>
      <c r="B21" s="5" t="s">
        <v>79</v>
      </c>
      <c r="C21" s="5" t="s">
        <v>80</v>
      </c>
      <c r="D21" s="5">
        <v>200</v>
      </c>
      <c r="E21" s="5">
        <v>10</v>
      </c>
      <c r="F21" s="5" t="s">
        <v>41</v>
      </c>
      <c r="G21" s="9" t="str">
        <f t="shared" si="0"/>
        <v>Standard price</v>
      </c>
      <c r="H21" s="5" t="str">
        <f t="shared" si="1"/>
        <v>14</v>
      </c>
      <c r="I21" s="5" t="str">
        <f t="shared" si="2"/>
        <v>AUG</v>
      </c>
      <c r="J21" s="5" t="str">
        <f t="shared" si="3"/>
        <v>US</v>
      </c>
    </row>
    <row r="22" spans="1:10" ht="15.75" customHeight="1" x14ac:dyDescent="0.25">
      <c r="A22" s="5" t="s">
        <v>81</v>
      </c>
      <c r="B22" s="5" t="s">
        <v>82</v>
      </c>
      <c r="C22" s="5" t="s">
        <v>83</v>
      </c>
      <c r="D22" s="5">
        <v>700</v>
      </c>
      <c r="E22" s="5">
        <v>50</v>
      </c>
      <c r="F22" s="5" t="s">
        <v>26</v>
      </c>
      <c r="G22" s="9" t="str">
        <f t="shared" si="0"/>
        <v>High price</v>
      </c>
      <c r="H22" s="5" t="str">
        <f t="shared" si="1"/>
        <v>14</v>
      </c>
      <c r="I22" s="5" t="str">
        <f t="shared" si="2"/>
        <v>MAY</v>
      </c>
      <c r="J22" s="5" t="str">
        <f t="shared" si="3"/>
        <v>RU</v>
      </c>
    </row>
    <row r="23" spans="1:10" ht="15.75" customHeight="1" x14ac:dyDescent="0.25">
      <c r="A23" s="5" t="s">
        <v>84</v>
      </c>
      <c r="B23" s="5" t="s">
        <v>85</v>
      </c>
      <c r="C23" s="5" t="s">
        <v>86</v>
      </c>
      <c r="D23" s="5">
        <v>80</v>
      </c>
      <c r="E23" s="5">
        <v>20</v>
      </c>
      <c r="F23" s="5" t="s">
        <v>34</v>
      </c>
      <c r="G23" s="9" t="str">
        <f t="shared" si="0"/>
        <v>Standard price</v>
      </c>
      <c r="H23" s="5" t="str">
        <f t="shared" si="1"/>
        <v>09</v>
      </c>
      <c r="I23" s="5" t="str">
        <f t="shared" si="2"/>
        <v>JAN</v>
      </c>
      <c r="J23" s="5" t="str">
        <f t="shared" si="3"/>
        <v>CA</v>
      </c>
    </row>
    <row r="24" spans="1:10" ht="15.75" customHeight="1" x14ac:dyDescent="0.25">
      <c r="A24" s="5" t="s">
        <v>87</v>
      </c>
      <c r="B24" s="5" t="s">
        <v>88</v>
      </c>
      <c r="C24" s="5" t="s">
        <v>89</v>
      </c>
      <c r="D24" s="5">
        <v>150</v>
      </c>
      <c r="E24" s="5">
        <v>30</v>
      </c>
      <c r="F24" s="5" t="s">
        <v>26</v>
      </c>
      <c r="G24" s="9" t="str">
        <f t="shared" si="0"/>
        <v>Standard price</v>
      </c>
      <c r="H24" s="5" t="str">
        <f t="shared" si="1"/>
        <v>19</v>
      </c>
      <c r="I24" s="5" t="str">
        <f t="shared" si="2"/>
        <v>JUL</v>
      </c>
      <c r="J24" s="5" t="str">
        <f t="shared" si="3"/>
        <v>BR</v>
      </c>
    </row>
    <row r="25" spans="1:10" ht="15.75" customHeight="1" x14ac:dyDescent="0.25">
      <c r="A25" s="5" t="s">
        <v>67</v>
      </c>
      <c r="B25" s="5" t="s">
        <v>68</v>
      </c>
      <c r="C25" s="5" t="s">
        <v>69</v>
      </c>
      <c r="D25" s="5">
        <v>50</v>
      </c>
      <c r="E25" s="5">
        <v>35</v>
      </c>
      <c r="F25" s="5" t="s">
        <v>70</v>
      </c>
      <c r="G25" s="9" t="str">
        <f t="shared" si="0"/>
        <v>Standard price</v>
      </c>
      <c r="H25" s="5" t="str">
        <f t="shared" si="1"/>
        <v>21</v>
      </c>
      <c r="I25" s="5" t="str">
        <f t="shared" si="2"/>
        <v>AUG</v>
      </c>
      <c r="J25" s="5" t="str">
        <f t="shared" si="3"/>
        <v>CA</v>
      </c>
    </row>
    <row r="26" spans="1:10" ht="15.75" customHeight="1" x14ac:dyDescent="0.25">
      <c r="A26" s="5" t="s">
        <v>90</v>
      </c>
      <c r="B26" s="5" t="s">
        <v>36</v>
      </c>
      <c r="C26" s="5" t="s">
        <v>91</v>
      </c>
      <c r="D26" s="5">
        <v>800</v>
      </c>
      <c r="E26" s="5">
        <v>45</v>
      </c>
      <c r="F26" s="5" t="s">
        <v>26</v>
      </c>
      <c r="G26" s="9" t="str">
        <f t="shared" si="0"/>
        <v>High price</v>
      </c>
      <c r="H26" s="5" t="str">
        <f t="shared" si="1"/>
        <v>29</v>
      </c>
      <c r="I26" s="5" t="str">
        <f t="shared" si="2"/>
        <v>SEP</v>
      </c>
      <c r="J26" s="5" t="str">
        <f t="shared" si="3"/>
        <v>CA</v>
      </c>
    </row>
    <row r="27" spans="1:10" ht="15.75" customHeight="1" x14ac:dyDescent="0.25">
      <c r="A27" s="5" t="s">
        <v>92</v>
      </c>
      <c r="B27" s="5" t="s">
        <v>76</v>
      </c>
      <c r="C27" s="5" t="s">
        <v>93</v>
      </c>
      <c r="D27" s="5">
        <v>130</v>
      </c>
      <c r="E27" s="5">
        <v>25</v>
      </c>
      <c r="F27" s="5" t="s">
        <v>30</v>
      </c>
      <c r="G27" s="9" t="str">
        <f t="shared" si="0"/>
        <v>Standard price</v>
      </c>
      <c r="H27" s="5" t="str">
        <f t="shared" si="1"/>
        <v>03</v>
      </c>
      <c r="I27" s="5" t="str">
        <f t="shared" si="2"/>
        <v>JUN</v>
      </c>
      <c r="J27" s="5" t="str">
        <f t="shared" si="3"/>
        <v>CA</v>
      </c>
    </row>
    <row r="28" spans="1:10" ht="15.75" customHeight="1" x14ac:dyDescent="0.25">
      <c r="A28" s="5" t="s">
        <v>94</v>
      </c>
      <c r="B28" s="5" t="s">
        <v>49</v>
      </c>
      <c r="C28" s="5" t="s">
        <v>95</v>
      </c>
      <c r="D28" s="5">
        <v>400</v>
      </c>
      <c r="E28" s="5">
        <v>40</v>
      </c>
      <c r="F28" s="5" t="s">
        <v>34</v>
      </c>
      <c r="G28" s="9" t="str">
        <f t="shared" si="0"/>
        <v>Standard price</v>
      </c>
      <c r="H28" s="5" t="str">
        <f t="shared" si="1"/>
        <v>11</v>
      </c>
      <c r="I28" s="5" t="str">
        <f t="shared" si="2"/>
        <v>JUL</v>
      </c>
      <c r="J28" s="5" t="str">
        <f t="shared" si="3"/>
        <v>CA</v>
      </c>
    </row>
    <row r="29" spans="1:10" ht="15.75" customHeight="1" x14ac:dyDescent="0.25">
      <c r="A29" s="5" t="s">
        <v>65</v>
      </c>
      <c r="B29" s="5" t="s">
        <v>43</v>
      </c>
      <c r="C29" s="5" t="s">
        <v>66</v>
      </c>
      <c r="D29" s="5">
        <v>230</v>
      </c>
      <c r="E29" s="5">
        <v>20</v>
      </c>
      <c r="F29" s="5" t="s">
        <v>26</v>
      </c>
      <c r="G29" s="9" t="str">
        <f t="shared" si="0"/>
        <v>Standard price</v>
      </c>
      <c r="H29" s="5" t="str">
        <f t="shared" si="1"/>
        <v>16</v>
      </c>
      <c r="I29" s="5" t="str">
        <f t="shared" si="2"/>
        <v>APR</v>
      </c>
      <c r="J29" s="5" t="str">
        <f t="shared" si="3"/>
        <v>ES</v>
      </c>
    </row>
    <row r="30" spans="1:10" ht="15.75" customHeight="1" x14ac:dyDescent="0.25">
      <c r="A30" s="5" t="s">
        <v>96</v>
      </c>
      <c r="B30" s="5" t="s">
        <v>97</v>
      </c>
      <c r="C30" s="5" t="s">
        <v>98</v>
      </c>
      <c r="D30" s="5">
        <v>60</v>
      </c>
      <c r="E30" s="5">
        <v>30</v>
      </c>
      <c r="F30" s="5" t="s">
        <v>30</v>
      </c>
      <c r="G30" s="9" t="str">
        <f t="shared" si="0"/>
        <v>Standard price</v>
      </c>
      <c r="H30" s="5" t="str">
        <f t="shared" si="1"/>
        <v>07</v>
      </c>
      <c r="I30" s="5" t="str">
        <f t="shared" si="2"/>
        <v>MAR</v>
      </c>
      <c r="J30" s="5" t="str">
        <f t="shared" si="3"/>
        <v>CA</v>
      </c>
    </row>
    <row r="31" spans="1:10" ht="15.75" customHeight="1" x14ac:dyDescent="0.25">
      <c r="A31" s="5" t="s">
        <v>99</v>
      </c>
      <c r="B31" s="5" t="s">
        <v>100</v>
      </c>
      <c r="C31" s="5" t="s">
        <v>101</v>
      </c>
      <c r="D31" s="5">
        <v>40</v>
      </c>
      <c r="E31" s="5">
        <v>10</v>
      </c>
      <c r="F31" s="5" t="s">
        <v>34</v>
      </c>
      <c r="G31" s="9" t="str">
        <f t="shared" si="0"/>
        <v>Standard price</v>
      </c>
      <c r="H31" s="5" t="str">
        <f t="shared" si="1"/>
        <v>13</v>
      </c>
      <c r="I31" s="5" t="str">
        <f t="shared" si="2"/>
        <v>APR</v>
      </c>
      <c r="J31" s="5" t="str">
        <f t="shared" si="3"/>
        <v>CA</v>
      </c>
    </row>
    <row r="32" spans="1:10" ht="15.75" customHeight="1" x14ac:dyDescent="0.25">
      <c r="A32" s="5" t="s">
        <v>102</v>
      </c>
      <c r="B32" s="5" t="s">
        <v>88</v>
      </c>
      <c r="C32" s="5" t="s">
        <v>103</v>
      </c>
      <c r="D32" s="5">
        <v>130</v>
      </c>
      <c r="E32" s="5">
        <v>5</v>
      </c>
      <c r="F32" s="5" t="s">
        <v>26</v>
      </c>
      <c r="G32" s="9" t="str">
        <f t="shared" si="0"/>
        <v>Standard price</v>
      </c>
      <c r="H32" s="5" t="str">
        <f t="shared" si="1"/>
        <v>24</v>
      </c>
      <c r="I32" s="5" t="str">
        <f t="shared" si="2"/>
        <v>MAY</v>
      </c>
      <c r="J32" s="5" t="str">
        <f t="shared" si="3"/>
        <v>CA</v>
      </c>
    </row>
    <row r="33" spans="1:13" ht="15.75" customHeight="1" x14ac:dyDescent="0.25">
      <c r="A33" s="5" t="s">
        <v>104</v>
      </c>
      <c r="B33" s="5" t="s">
        <v>105</v>
      </c>
      <c r="C33" s="5" t="s">
        <v>106</v>
      </c>
      <c r="D33" s="5">
        <v>50</v>
      </c>
      <c r="E33" s="5">
        <v>50</v>
      </c>
      <c r="F33" s="5" t="s">
        <v>30</v>
      </c>
      <c r="G33" s="9" t="str">
        <f t="shared" si="0"/>
        <v>Standard price</v>
      </c>
      <c r="H33" s="5" t="str">
        <f t="shared" si="1"/>
        <v>02</v>
      </c>
      <c r="I33" s="5" t="str">
        <f t="shared" si="2"/>
        <v>DEC</v>
      </c>
      <c r="J33" s="5" t="str">
        <f t="shared" si="3"/>
        <v>CA</v>
      </c>
    </row>
    <row r="34" spans="1:13" ht="15.75" customHeight="1" x14ac:dyDescent="0.25">
      <c r="A34" s="5" t="s">
        <v>57</v>
      </c>
      <c r="B34" s="5" t="s">
        <v>24</v>
      </c>
      <c r="C34" s="5" t="s">
        <v>58</v>
      </c>
      <c r="D34" s="5">
        <v>950</v>
      </c>
      <c r="E34" s="5">
        <v>25</v>
      </c>
      <c r="F34" s="5" t="s">
        <v>26</v>
      </c>
      <c r="G34" s="9" t="str">
        <f t="shared" si="0"/>
        <v>High price</v>
      </c>
      <c r="H34" s="5" t="str">
        <f t="shared" si="1"/>
        <v>17</v>
      </c>
      <c r="I34" s="5" t="str">
        <f t="shared" si="2"/>
        <v>JUN</v>
      </c>
      <c r="J34" s="5" t="str">
        <f t="shared" si="3"/>
        <v>IN</v>
      </c>
    </row>
    <row r="35" spans="1:13" ht="15.75" customHeight="1" x14ac:dyDescent="0.25">
      <c r="A35" s="5" t="s">
        <v>107</v>
      </c>
      <c r="B35" s="5" t="s">
        <v>108</v>
      </c>
      <c r="C35" s="5" t="s">
        <v>109</v>
      </c>
      <c r="D35" s="5">
        <v>100</v>
      </c>
      <c r="E35" s="5">
        <v>20</v>
      </c>
      <c r="F35" s="5" t="s">
        <v>70</v>
      </c>
      <c r="G35" s="9" t="str">
        <f t="shared" si="0"/>
        <v>Standard price</v>
      </c>
      <c r="H35" s="5" t="str">
        <f t="shared" si="1"/>
        <v>09</v>
      </c>
      <c r="I35" s="5" t="str">
        <f t="shared" si="2"/>
        <v>JUL</v>
      </c>
      <c r="J35" s="5" t="str">
        <f t="shared" si="3"/>
        <v>FR</v>
      </c>
    </row>
    <row r="36" spans="1:13" ht="15.75" customHeight="1" x14ac:dyDescent="0.25"/>
    <row r="37" spans="1:13" ht="15.75" customHeight="1" x14ac:dyDescent="0.25"/>
    <row r="38" spans="1:13" ht="15.75" customHeight="1" x14ac:dyDescent="0.25"/>
    <row r="39" spans="1:13" ht="15.75" customHeight="1" x14ac:dyDescent="0.25"/>
    <row r="40" spans="1:13" ht="15.75" customHeight="1" x14ac:dyDescent="0.25"/>
    <row r="41" spans="1:13" ht="15.75" customHeight="1" x14ac:dyDescent="0.25">
      <c r="L41" s="5" t="s">
        <v>110</v>
      </c>
      <c r="M41" s="5" t="s">
        <v>111</v>
      </c>
    </row>
    <row r="42" spans="1:13" ht="17.399999999999999" customHeight="1" x14ac:dyDescent="0.25">
      <c r="L42" s="5"/>
      <c r="M42" s="5"/>
    </row>
    <row r="43" spans="1:13" ht="15.75" customHeight="1" x14ac:dyDescent="0.25">
      <c r="L43" s="5" t="s">
        <v>2</v>
      </c>
      <c r="M43" s="5">
        <f>SUM(D2:D35)</f>
        <v>10100</v>
      </c>
    </row>
    <row r="44" spans="1:13" ht="15.75" customHeight="1" x14ac:dyDescent="0.25">
      <c r="L44" s="5" t="s">
        <v>3</v>
      </c>
      <c r="M44" s="5">
        <f>COUNTA(B2:B35)</f>
        <v>34</v>
      </c>
    </row>
    <row r="45" spans="1:13" ht="15.75" customHeight="1" x14ac:dyDescent="0.25">
      <c r="L45" s="5" t="s">
        <v>4</v>
      </c>
      <c r="M45" s="5">
        <f>AVERAGE(D2:D35)</f>
        <v>297.05882352941177</v>
      </c>
    </row>
    <row r="46" spans="1:13" ht="15.75" customHeight="1" x14ac:dyDescent="0.25">
      <c r="L46" s="5"/>
      <c r="M46" s="5"/>
    </row>
    <row r="47" spans="1:13" ht="15.75" customHeight="1" x14ac:dyDescent="0.25">
      <c r="L47" s="5"/>
      <c r="M47" s="5"/>
    </row>
    <row r="48" spans="1:13" ht="15.75" customHeight="1" x14ac:dyDescent="0.25">
      <c r="L48" s="5" t="s">
        <v>6</v>
      </c>
      <c r="M48" s="5">
        <f>MIN(D2:D35)</f>
        <v>30</v>
      </c>
    </row>
    <row r="49" spans="12:13" ht="15.6" customHeight="1" x14ac:dyDescent="0.25">
      <c r="L49" s="5" t="s">
        <v>7</v>
      </c>
      <c r="M49" s="5">
        <f>MAX(D2:D35)</f>
        <v>1000</v>
      </c>
    </row>
    <row r="50" spans="12:13" ht="18" customHeight="1" x14ac:dyDescent="0.25">
      <c r="L50" s="5"/>
      <c r="M50" s="5"/>
    </row>
    <row r="51" spans="12:13" ht="52.8" x14ac:dyDescent="0.25">
      <c r="L51" s="10" t="s">
        <v>9</v>
      </c>
      <c r="M51" s="5" t="s">
        <v>113</v>
      </c>
    </row>
    <row r="52" spans="12:13" ht="13.2" x14ac:dyDescent="0.25">
      <c r="L52" s="5"/>
      <c r="M52" s="5"/>
    </row>
    <row r="53" spans="12:13" ht="13.2" x14ac:dyDescent="0.25">
      <c r="L53" s="5"/>
      <c r="M53" s="5"/>
    </row>
    <row r="54" spans="12:13" ht="26.4" x14ac:dyDescent="0.25">
      <c r="L54" s="10" t="s">
        <v>11</v>
      </c>
      <c r="M54" s="5">
        <f>SUMIF(F2:F35,F2,D2:D35)</f>
        <v>8050</v>
      </c>
    </row>
    <row r="55" spans="12:13" ht="26.4" x14ac:dyDescent="0.25">
      <c r="L55" s="10" t="s">
        <v>12</v>
      </c>
      <c r="M55" s="5">
        <f>COUNTIF(D2:D35,"&lt;100")</f>
        <v>11</v>
      </c>
    </row>
    <row r="56" spans="12:13" ht="15.75" customHeight="1" x14ac:dyDescent="0.25"/>
    <row r="57" spans="12:13" ht="15.75" customHeight="1" x14ac:dyDescent="0.25"/>
    <row r="58" spans="12:13" ht="15.75" customHeight="1" x14ac:dyDescent="0.25"/>
    <row r="59" spans="12:13" ht="15.75" customHeight="1" x14ac:dyDescent="0.25"/>
    <row r="60" spans="12:13" ht="15.75" customHeight="1" x14ac:dyDescent="0.25"/>
    <row r="61" spans="12:13" ht="15.75" customHeight="1" x14ac:dyDescent="0.25"/>
    <row r="62" spans="12:13" ht="15.75" customHeight="1" x14ac:dyDescent="0.25"/>
    <row r="63" spans="12:13" ht="15.75" customHeight="1" x14ac:dyDescent="0.25"/>
    <row r="64" spans="12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 krishna Muthyam</cp:lastModifiedBy>
  <dcterms:modified xsi:type="dcterms:W3CDTF">2026-09-11T15:11:34Z</dcterms:modified>
</cp:coreProperties>
</file>